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umberto_scottidiuccio_unina_it/Documents/a. Area studenti/10. PLS e sequenze didattiche/2026/costante di Planck con i LED/"/>
    </mc:Choice>
  </mc:AlternateContent>
  <xr:revisionPtr revIDLastSave="281" documentId="8_{96F9BE01-9F3A-410E-A3AD-B7F910797EB1}" xr6:coauthVersionLast="47" xr6:coauthVersionMax="47" xr10:uidLastSave="{921F5484-EF33-4A3D-8CEF-B2D35AA5FC65}"/>
  <bookViews>
    <workbookView minimized="1" xWindow="6435" yWindow="930" windowWidth="14535" windowHeight="12360" xr2:uid="{86311697-130C-4545-99AB-BC8645008D2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Q18" i="1"/>
  <c r="P12" i="1"/>
  <c r="Q12" i="1"/>
  <c r="P13" i="1"/>
  <c r="Q13" i="1"/>
  <c r="P14" i="1"/>
  <c r="Q14" i="1"/>
  <c r="P15" i="1"/>
  <c r="Q15" i="1"/>
  <c r="P16" i="1"/>
  <c r="Q16" i="1"/>
  <c r="P17" i="1"/>
  <c r="Q17" i="1"/>
  <c r="P19" i="1"/>
  <c r="Q19" i="1"/>
  <c r="P20" i="1"/>
  <c r="Q20" i="1"/>
  <c r="C6" i="1"/>
  <c r="C7" i="1"/>
  <c r="C8" i="1"/>
  <c r="C9" i="1"/>
  <c r="C10" i="1"/>
  <c r="C11" i="1"/>
  <c r="C5" i="1"/>
  <c r="Q5" i="1" s="1"/>
  <c r="F5" i="1"/>
  <c r="E7" i="1"/>
  <c r="E8" i="1"/>
  <c r="E9" i="1"/>
  <c r="E10" i="1"/>
  <c r="E11" i="1"/>
  <c r="E6" i="1"/>
  <c r="E2" i="1"/>
  <c r="F11" i="1" s="1"/>
  <c r="E5" i="1"/>
  <c r="P11" i="1" l="1"/>
  <c r="F10" i="1"/>
  <c r="P10" i="1" s="1"/>
  <c r="Q10" i="1"/>
  <c r="Q6" i="1"/>
  <c r="F8" i="1"/>
  <c r="P8" i="1" s="1"/>
  <c r="F9" i="1"/>
  <c r="P9" i="1" s="1"/>
  <c r="Q9" i="1"/>
  <c r="Q21" i="1" s="1"/>
  <c r="F7" i="1"/>
  <c r="P7" i="1" s="1"/>
  <c r="F6" i="1"/>
  <c r="P6" i="1" s="1"/>
  <c r="P5" i="1"/>
  <c r="Q8" i="1"/>
  <c r="Q11" i="1"/>
  <c r="Q7" i="1"/>
  <c r="P21" i="1" l="1"/>
  <c r="R21" i="1" l="1"/>
  <c r="K20" i="1" s="1"/>
  <c r="S6" i="1"/>
</calcChain>
</file>

<file path=xl/sharedStrings.xml><?xml version="1.0" encoding="utf-8"?>
<sst xmlns="http://schemas.openxmlformats.org/spreadsheetml/2006/main" count="11" uniqueCount="11">
  <si>
    <t>C</t>
  </si>
  <si>
    <t>e =</t>
  </si>
  <si>
    <r>
      <rPr>
        <b/>
        <sz val="11"/>
        <color theme="1"/>
        <rFont val="Symbol"/>
        <family val="1"/>
        <charset val="2"/>
      </rPr>
      <t>n</t>
    </r>
    <r>
      <rPr>
        <b/>
        <sz val="11"/>
        <color theme="1"/>
        <rFont val="Times New Roman"/>
        <family val="1"/>
      </rPr>
      <t xml:space="preserve"> (THz)</t>
    </r>
  </si>
  <si>
    <r>
      <t>V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 xml:space="preserve"> (Volt)</t>
    </r>
  </si>
  <si>
    <r>
      <rPr>
        <b/>
        <i/>
        <sz val="11"/>
        <color theme="1"/>
        <rFont val="Times New Roman"/>
        <family val="1"/>
      </rPr>
      <t>e</t>
    </r>
    <r>
      <rPr>
        <b/>
        <sz val="11"/>
        <color theme="1"/>
        <rFont val="Times New Roman"/>
        <family val="1"/>
      </rPr>
      <t>V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 xml:space="preserve"> (</t>
    </r>
    <r>
      <rPr>
        <b/>
        <i/>
        <sz val="11"/>
        <color theme="1"/>
        <rFont val="Times New Roman"/>
        <family val="1"/>
      </rPr>
      <t>e</t>
    </r>
    <r>
      <rPr>
        <b/>
        <sz val="11"/>
        <color theme="1"/>
        <rFont val="Times New Roman"/>
        <family val="1"/>
      </rPr>
      <t>V)</t>
    </r>
  </si>
  <si>
    <r>
      <rPr>
        <b/>
        <i/>
        <sz val="11"/>
        <color theme="1"/>
        <rFont val="Times New Roman"/>
        <family val="1"/>
      </rPr>
      <t>e</t>
    </r>
    <r>
      <rPr>
        <b/>
        <sz val="11"/>
        <color theme="1"/>
        <rFont val="Times New Roman"/>
        <family val="1"/>
      </rPr>
      <t>V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 xml:space="preserve"> (10</t>
    </r>
    <r>
      <rPr>
        <b/>
        <vertAlign val="superscript"/>
        <sz val="11"/>
        <color theme="1"/>
        <rFont val="Times New Roman"/>
        <family val="1"/>
      </rPr>
      <t>19</t>
    </r>
    <r>
      <rPr>
        <b/>
        <sz val="11"/>
        <color theme="1"/>
        <rFont val="Times New Roman"/>
        <family val="1"/>
      </rPr>
      <t>J)</t>
    </r>
  </si>
  <si>
    <r>
      <rPr>
        <b/>
        <sz val="11"/>
        <color theme="1"/>
        <rFont val="Symbol"/>
        <family val="1"/>
        <charset val="2"/>
      </rPr>
      <t>n</t>
    </r>
    <r>
      <rPr>
        <b/>
        <sz val="11"/>
        <color theme="1"/>
        <rFont val="Times New Roman"/>
        <family val="1"/>
      </rPr>
      <t xml:space="preserve"> (10</t>
    </r>
    <r>
      <rPr>
        <b/>
        <vertAlign val="superscript"/>
        <sz val="11"/>
        <color theme="1"/>
        <rFont val="Times New Roman"/>
        <family val="1"/>
      </rPr>
      <t>14</t>
    </r>
    <r>
      <rPr>
        <b/>
        <sz val="11"/>
        <color theme="1"/>
        <rFont val="Times New Roman"/>
        <family val="1"/>
      </rPr>
      <t xml:space="preserve"> Hz)</t>
    </r>
  </si>
  <si>
    <t>h =</t>
  </si>
  <si>
    <t>J s</t>
  </si>
  <si>
    <r>
      <rPr>
        <b/>
        <sz val="16"/>
        <color rgb="FFFF0000"/>
        <rFont val="Aptos Narrow"/>
        <family val="2"/>
      </rPr>
      <t>×</t>
    </r>
    <r>
      <rPr>
        <b/>
        <sz val="16"/>
        <color rgb="FFFF0000"/>
        <rFont val="Times New Roman"/>
        <family val="1"/>
      </rPr>
      <t xml:space="preserve"> 10</t>
    </r>
    <r>
      <rPr>
        <b/>
        <vertAlign val="superscript"/>
        <sz val="16"/>
        <color rgb="FFFF0000"/>
        <rFont val="Times New Roman"/>
        <family val="1"/>
      </rPr>
      <t>-34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</si>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</sst>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4"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  <charset val="2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i/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FF0000"/>
      <name val="Aptos Narrow"/>
      <family val="2"/>
    </font>
    <font>
      <b/>
      <vertAlign val="superscript"/>
      <sz val="16"/>
      <color rgb="FFFF0000"/>
      <name val="Times New Roman"/>
      <family val="1"/>
    </font>
    <font>
      <b/>
      <sz val="16"/>
      <color rgb="FFFF0000"/>
      <name val="Aptos Narrow"/>
      <family val="2"/>
      <scheme val="minor"/>
    </font>
    <font>
      <sz val="11"/>
      <color theme="5" tint="0.399975585192419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1" fontId="3" fillId="0" borderId="6" xfId="0" applyNumberFormat="1" applyFont="1" applyBorder="1" applyAlignment="1" applyProtection="1">
      <alignment horizontal="center"/>
      <protection locked="0"/>
    </xf>
    <xf numFmtId="2" fontId="3" fillId="2" borderId="7" xfId="0" applyNumberFormat="1" applyFont="1" applyFill="1" applyBorder="1" applyAlignment="1" applyProtection="1">
      <alignment horizontal="center"/>
      <protection locked="0"/>
    </xf>
    <xf numFmtId="2" fontId="3" fillId="0" borderId="14" xfId="0" applyNumberFormat="1" applyFont="1" applyBorder="1" applyAlignment="1" applyProtection="1">
      <alignment horizontal="center"/>
      <protection locked="0"/>
    </xf>
    <xf numFmtId="2" fontId="3" fillId="0" borderId="2" xfId="0" applyNumberFormat="1" applyFont="1" applyBorder="1" applyAlignment="1" applyProtection="1">
      <alignment horizontal="center"/>
      <protection locked="0"/>
    </xf>
    <xf numFmtId="1" fontId="3" fillId="0" borderId="8" xfId="0" applyNumberFormat="1" applyFont="1" applyBorder="1" applyAlignment="1" applyProtection="1">
      <alignment horizontal="center"/>
      <protection locked="0"/>
    </xf>
    <xf numFmtId="2" fontId="3" fillId="0" borderId="15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3" fillId="2" borderId="11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right"/>
      <protection locked="0"/>
    </xf>
    <xf numFmtId="1" fontId="3" fillId="0" borderId="9" xfId="0" applyNumberFormat="1" applyFont="1" applyBorder="1" applyAlignment="1" applyProtection="1">
      <alignment horizontal="center"/>
      <protection locked="0"/>
    </xf>
    <xf numFmtId="2" fontId="3" fillId="2" borderId="12" xfId="0" applyNumberFormat="1" applyFont="1" applyFill="1" applyBorder="1" applyAlignment="1" applyProtection="1">
      <alignment horizontal="center"/>
      <protection locked="0"/>
    </xf>
    <xf numFmtId="2" fontId="3" fillId="0" borderId="16" xfId="0" applyNumberFormat="1" applyFont="1" applyBorder="1" applyAlignment="1" applyProtection="1">
      <alignment horizontal="center"/>
      <protection locked="0"/>
    </xf>
    <xf numFmtId="2" fontId="3" fillId="0" borderId="10" xfId="0" applyNumberFormat="1" applyFont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right"/>
      <protection locked="0"/>
    </xf>
    <xf numFmtId="165" fontId="9" fillId="0" borderId="18" xfId="0" applyNumberFormat="1" applyFont="1" applyBorder="1" applyProtection="1">
      <protection locked="0"/>
    </xf>
    <xf numFmtId="0" fontId="12" fillId="0" borderId="18" xfId="0" applyFont="1" applyBorder="1" applyProtection="1">
      <protection locked="0"/>
    </xf>
    <xf numFmtId="0" fontId="9" fillId="0" borderId="19" xfId="0" applyFont="1" applyBorder="1" applyAlignment="1" applyProtection="1">
      <alignment horizontal="center"/>
      <protection locked="0"/>
    </xf>
    <xf numFmtId="2" fontId="3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13" fillId="0" borderId="0" xfId="0" applyFont="1" applyProtection="1">
      <protection hidden="1"/>
    </xf>
    <xf numFmtId="164" fontId="13" fillId="0" borderId="0" xfId="0" applyNumberFormat="1" applyFont="1" applyProtection="1">
      <protection hidden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0858670290455"/>
          <c:y val="7.8452301775055411E-2"/>
          <c:w val="0.81945408064654324"/>
          <c:h val="0.71687330946387529"/>
        </c:manualLayout>
      </c:layout>
      <c:scatterChart>
        <c:scatterStyle val="lineMarker"/>
        <c:varyColors val="0"/>
        <c:ser>
          <c:idx val="0"/>
          <c:order val="0"/>
          <c:tx>
            <c:strRef>
              <c:f>Foglio1!$F$4</c:f>
              <c:strCache>
                <c:ptCount val="1"/>
                <c:pt idx="0">
                  <c:v>eVs (1019J)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Foglio1!$C$5:$C$20</c:f>
              <c:numCache>
                <c:formatCode>0.00</c:formatCode>
                <c:ptCount val="16"/>
                <c:pt idx="0">
                  <c:v>4.1500000000000004</c:v>
                </c:pt>
                <c:pt idx="1">
                  <c:v>4.6399999999999997</c:v>
                </c:pt>
                <c:pt idx="2">
                  <c:v>4.87</c:v>
                </c:pt>
                <c:pt idx="3">
                  <c:v>5</c:v>
                </c:pt>
                <c:pt idx="4">
                  <c:v>5.74</c:v>
                </c:pt>
                <c:pt idx="5">
                  <c:v>6.62</c:v>
                </c:pt>
                <c:pt idx="6">
                  <c:v>7.81</c:v>
                </c:pt>
              </c:numCache>
            </c:numRef>
          </c:xVal>
          <c:yVal>
            <c:numRef>
              <c:f>Foglio1!$F$5:$F$20</c:f>
              <c:numCache>
                <c:formatCode>0.00</c:formatCode>
                <c:ptCount val="16"/>
                <c:pt idx="0">
                  <c:v>2.3199999999999998</c:v>
                </c:pt>
                <c:pt idx="1">
                  <c:v>2.6399999999999997</c:v>
                </c:pt>
                <c:pt idx="2">
                  <c:v>2.8319999999999999</c:v>
                </c:pt>
                <c:pt idx="3">
                  <c:v>3.0239999999999996</c:v>
                </c:pt>
                <c:pt idx="4">
                  <c:v>3.4399999999999995</c:v>
                </c:pt>
                <c:pt idx="5">
                  <c:v>3.9520000000000004</c:v>
                </c:pt>
                <c:pt idx="6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0-40B9-AE3A-4B5621CD688D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Foglio1!$R$5:$R$6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xVal>
          <c:yVal>
            <c:numRef>
              <c:f>Foglio1!$S$5:$S$6</c:f>
              <c:numCache>
                <c:formatCode>General</c:formatCode>
                <c:ptCount val="2"/>
                <c:pt idx="0">
                  <c:v>0</c:v>
                </c:pt>
                <c:pt idx="1">
                  <c:v>5.3617610953080117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86-455E-BE3E-80633795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874256"/>
        <c:axId val="920872336"/>
      </c:scatterChart>
      <c:valAx>
        <c:axId val="9208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>
                    <a:latin typeface="Symbol" panose="05050102010706020507" pitchFamily="18" charset="2"/>
                  </a:rPr>
                  <a:t>n</a:t>
                </a:r>
                <a:r>
                  <a:rPr lang="it-IT" sz="1600" b="1">
                    <a:latin typeface="Times" panose="02020603050405020304" pitchFamily="18" charset="0"/>
                  </a:rPr>
                  <a:t> (10</a:t>
                </a:r>
                <a:r>
                  <a:rPr lang="it-IT" sz="1600" b="1" baseline="30000">
                    <a:latin typeface="Times" panose="02020603050405020304" pitchFamily="18" charset="0"/>
                  </a:rPr>
                  <a:t>14</a:t>
                </a:r>
                <a:r>
                  <a:rPr lang="it-IT" sz="1600" b="1">
                    <a:latin typeface="Times" panose="02020603050405020304" pitchFamily="18" charset="0"/>
                  </a:rPr>
                  <a:t> 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0872336"/>
        <c:crosses val="autoZero"/>
        <c:crossBetween val="midCat"/>
      </c:valAx>
      <c:valAx>
        <c:axId val="9208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i="1">
                    <a:latin typeface="Times" panose="02020603050405020304" pitchFamily="18" charset="0"/>
                  </a:rPr>
                  <a:t>e</a:t>
                </a:r>
                <a:r>
                  <a:rPr lang="it-IT" sz="1600" b="1">
                    <a:latin typeface="Times" panose="02020603050405020304" pitchFamily="18" charset="0"/>
                  </a:rPr>
                  <a:t>V</a:t>
                </a:r>
                <a:r>
                  <a:rPr lang="it-IT" sz="1600" b="1" baseline="-25000">
                    <a:latin typeface="Times" panose="02020603050405020304" pitchFamily="18" charset="0"/>
                  </a:rPr>
                  <a:t>s</a:t>
                </a:r>
                <a:r>
                  <a:rPr lang="it-IT" sz="1600" b="1" baseline="0">
                    <a:latin typeface="Times" panose="02020603050405020304" pitchFamily="18" charset="0"/>
                  </a:rPr>
                  <a:t> (10</a:t>
                </a:r>
                <a:r>
                  <a:rPr lang="it-IT" sz="1600" b="1" baseline="30000">
                    <a:latin typeface="Times" panose="02020603050405020304" pitchFamily="18" charset="0"/>
                  </a:rPr>
                  <a:t>19 </a:t>
                </a:r>
                <a:r>
                  <a:rPr lang="it-IT" sz="1600" b="1" baseline="0">
                    <a:latin typeface="Times" panose="02020603050405020304" pitchFamily="18" charset="0"/>
                  </a:rPr>
                  <a:t>J)</a:t>
                </a:r>
              </a:p>
            </c:rich>
          </c:tx>
          <c:layout>
            <c:manualLayout>
              <c:xMode val="edge"/>
              <c:yMode val="edge"/>
              <c:x val="2.5305408383462617E-3"/>
              <c:y val="0.199819415563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0874256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302173</xdr:colOff>
      <xdr:row>0</xdr:row>
      <xdr:rowOff>116269</xdr:rowOff>
    </xdr:from>
    <xdr:to>
      <xdr:col>14</xdr:col>
      <xdr:colOff>459828</xdr:colOff>
      <xdr:row>18</xdr:row>
      <xdr:rowOff>151085</xdr:rowOff>
    </xdr:to>
    <xdr:graphicFrame macro="">
      <xdr:nvGraphicFramePr>
        <xdr:cNvPr id="182" name="Grafico 2">
          <a:extLst>
            <a:ext uri="{FF2B5EF4-FFF2-40B4-BE49-F238E27FC236}">
              <a16:creationId xmlns:a16="http://schemas.microsoft.com/office/drawing/2014/main" id="{74D77788-65A3-2459-0F99-FC1C30A29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105103</xdr:colOff>
      <xdr:row>3</xdr:row>
      <xdr:rowOff>157655</xdr:rowOff>
    </xdr:from>
    <xdr:ext cx="1816266" cy="3441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CasellaDiTesto 1">
              <a:extLst>
                <a:ext uri="{FF2B5EF4-FFF2-40B4-BE49-F238E27FC236}">
                  <a16:creationId xmlns:a16="http://schemas.microsoft.com/office/drawing/2014/main" id="{F70BF065-08EA-1B1D-DC2A-D5D9BC067041}"/>
                </a:ext>
              </a:extLst>
            </xdr:cNvPr>
            <xdr:cNvSpPr txBox="1"/>
          </xdr:nvSpPr>
          <xdr:spPr>
            <a:xfrm>
              <a:off x="6805448" y="735724"/>
              <a:ext cx="1816266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t-IT" sz="1600" b="1" i="1">
                  <a:latin typeface="Times" panose="02020603050405020304" pitchFamily="18" charset="0"/>
                </a:rPr>
                <a:t>y = mx </a:t>
              </a:r>
              <a14:m>
                <m:oMath xmlns:m="http://schemas.openxmlformats.org/officeDocument/2006/math">
                  <m:r>
                    <a:rPr lang="it-IT" sz="16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→</m:t>
                  </m:r>
                </m:oMath>
              </a14:m>
              <a:r>
                <a:rPr lang="it-IT" sz="1600" b="1" i="1">
                  <a:latin typeface="Times" panose="02020603050405020304" pitchFamily="18" charset="0"/>
                </a:rPr>
                <a:t> e</a:t>
              </a:r>
              <a:r>
                <a:rPr lang="it-IT" sz="1600" b="1">
                  <a:latin typeface="Times" panose="02020603050405020304" pitchFamily="18" charset="0"/>
                </a:rPr>
                <a:t>V</a:t>
              </a:r>
              <a:r>
                <a:rPr lang="it-IT" sz="1600" b="1" baseline="-25000">
                  <a:latin typeface="Times" panose="02020603050405020304" pitchFamily="18" charset="0"/>
                </a:rPr>
                <a:t>s</a:t>
              </a:r>
              <a:r>
                <a:rPr lang="it-IT" sz="1600" b="1">
                  <a:latin typeface="Times" panose="02020603050405020304" pitchFamily="18" charset="0"/>
                </a:rPr>
                <a:t> = h </a:t>
              </a:r>
              <a:r>
                <a:rPr lang="it-IT" sz="1600" b="1">
                  <a:latin typeface="Symbol" panose="05050102010706020507" pitchFamily="18" charset="2"/>
                </a:rPr>
                <a:t>n</a:t>
              </a:r>
            </a:p>
          </xdr:txBody>
        </xdr:sp>
      </mc:Choice>
      <mc:Fallback xmlns="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F70BF065-08EA-1B1D-DC2A-D5D9BC067041}"/>
                </a:ext>
              </a:extLst>
            </xdr:cNvPr>
            <xdr:cNvSpPr txBox="1"/>
          </xdr:nvSpPr>
          <xdr:spPr>
            <a:xfrm>
              <a:off x="6805448" y="735724"/>
              <a:ext cx="1816266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it-IT" sz="1600" b="1" i="1">
                  <a:latin typeface="Times" panose="02020603050405020304" pitchFamily="18" charset="0"/>
                </a:rPr>
                <a:t>y = mx </a:t>
              </a:r>
              <a:r>
                <a:rPr lang="it-IT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it-IT" sz="1600" b="1" i="1">
                  <a:latin typeface="Times" panose="02020603050405020304" pitchFamily="18" charset="0"/>
                </a:rPr>
                <a:t> e</a:t>
              </a:r>
              <a:r>
                <a:rPr lang="it-IT" sz="1600" b="1">
                  <a:latin typeface="Times" panose="02020603050405020304" pitchFamily="18" charset="0"/>
                </a:rPr>
                <a:t>V</a:t>
              </a:r>
              <a:r>
                <a:rPr lang="it-IT" sz="1600" b="1" baseline="-25000">
                  <a:latin typeface="Times" panose="02020603050405020304" pitchFamily="18" charset="0"/>
                </a:rPr>
                <a:t>s</a:t>
              </a:r>
              <a:r>
                <a:rPr lang="it-IT" sz="1600" b="1">
                  <a:latin typeface="Times" panose="02020603050405020304" pitchFamily="18" charset="0"/>
                </a:rPr>
                <a:t> = h </a:t>
              </a:r>
              <a:r>
                <a:rPr lang="it-IT" sz="1600" b="1">
                  <a:latin typeface="Symbol" panose="05050102010706020507" pitchFamily="18" charset="2"/>
                </a:rPr>
                <a:t>n</a:t>
              </a: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92B1-D6F2-40DC-8AC1-290B4ABF046A}">
  <dimension ref="B1:S23"/>
  <sheetViews>
    <sheetView tabSelected="1" zoomScale="145" zoomScaleNormal="145" workbookViewId="0">
      <selection activeCell="E25" sqref="E25"/>
    </sheetView>
  </sheetViews>
  <sheetFormatPr defaultRowHeight="15"/>
  <cols>
    <col min="1" max="1" width="9.140625" style="1"/>
    <col min="2" max="6" width="14.7109375" style="1" customWidth="1"/>
    <col min="7" max="8" width="9.140625" style="28"/>
    <col min="9" max="15" width="9.140625" style="1"/>
    <col min="16" max="19" width="9.140625" style="29"/>
    <col min="20" max="16384" width="9.140625" style="1"/>
  </cols>
  <sheetData>
    <row r="1" spans="2:19">
      <c r="G1" s="1"/>
      <c r="H1" s="1"/>
    </row>
    <row r="2" spans="2:19">
      <c r="D2" s="2" t="s">
        <v>1</v>
      </c>
      <c r="E2" s="3">
        <f>1.6E-19</f>
        <v>1.5999999999999999E-19</v>
      </c>
      <c r="F2" s="4" t="s">
        <v>0</v>
      </c>
      <c r="G2" s="1"/>
      <c r="H2" s="1"/>
    </row>
    <row r="3" spans="2:19" ht="15.75" thickBot="1">
      <c r="G3" s="1"/>
      <c r="H3" s="1"/>
    </row>
    <row r="4" spans="2:19" ht="18.75" thickBot="1">
      <c r="B4" s="5" t="s">
        <v>2</v>
      </c>
      <c r="C4" s="6" t="s">
        <v>6</v>
      </c>
      <c r="D4" s="7" t="s">
        <v>3</v>
      </c>
      <c r="E4" s="8" t="s">
        <v>4</v>
      </c>
      <c r="F4" s="9" t="s">
        <v>5</v>
      </c>
      <c r="G4" s="1"/>
      <c r="H4" s="1"/>
    </row>
    <row r="5" spans="2:19">
      <c r="B5" s="10">
        <v>415</v>
      </c>
      <c r="C5" s="11">
        <f>B5*1000000000000/100000000000000</f>
        <v>4.1500000000000004</v>
      </c>
      <c r="D5" s="12">
        <v>1.45</v>
      </c>
      <c r="E5" s="13">
        <f>D5</f>
        <v>1.45</v>
      </c>
      <c r="F5" s="11">
        <f>D5*E$2*10000000000000000000</f>
        <v>2.3199999999999998</v>
      </c>
      <c r="G5" s="1"/>
      <c r="H5" s="1"/>
      <c r="P5" s="29">
        <f>C5*F5</f>
        <v>9.6280000000000001</v>
      </c>
      <c r="Q5" s="30">
        <f>C5^2</f>
        <v>17.222500000000004</v>
      </c>
      <c r="R5" s="29">
        <v>0</v>
      </c>
      <c r="S5" s="29">
        <v>0</v>
      </c>
    </row>
    <row r="6" spans="2:19">
      <c r="B6" s="14">
        <v>464</v>
      </c>
      <c r="C6" s="11">
        <f>B6*1000000000000/100000000000000</f>
        <v>4.6399999999999997</v>
      </c>
      <c r="D6" s="15">
        <v>1.65</v>
      </c>
      <c r="E6" s="16">
        <f t="shared" ref="E6" si="0">D6</f>
        <v>1.65</v>
      </c>
      <c r="F6" s="11">
        <f>D6*E$2*10000000000000000000</f>
        <v>2.6399999999999997</v>
      </c>
      <c r="G6" s="1"/>
      <c r="H6" s="1"/>
      <c r="P6" s="29">
        <f>C6*F6</f>
        <v>12.249599999999997</v>
      </c>
      <c r="Q6" s="30">
        <f>C6^2</f>
        <v>21.529599999999999</v>
      </c>
      <c r="R6" s="29">
        <v>9</v>
      </c>
      <c r="S6" s="29">
        <f>R6*P21/Q21</f>
        <v>5.3617610953080117</v>
      </c>
    </row>
    <row r="7" spans="2:19">
      <c r="B7" s="14">
        <v>487</v>
      </c>
      <c r="C7" s="11">
        <f>B7*1000000000000/100000000000000</f>
        <v>4.87</v>
      </c>
      <c r="D7" s="15">
        <v>1.77</v>
      </c>
      <c r="E7" s="16">
        <f>D7</f>
        <v>1.77</v>
      </c>
      <c r="F7" s="11">
        <f>D7*E$2*10000000000000000000</f>
        <v>2.8319999999999999</v>
      </c>
      <c r="G7" s="1"/>
      <c r="H7" s="1"/>
      <c r="P7" s="29">
        <f>C7*F7</f>
        <v>13.791839999999999</v>
      </c>
      <c r="Q7" s="30">
        <f>C7^2</f>
        <v>23.716900000000003</v>
      </c>
    </row>
    <row r="8" spans="2:19">
      <c r="B8" s="14">
        <v>500</v>
      </c>
      <c r="C8" s="11">
        <f>B8*1000000000000/100000000000000</f>
        <v>5</v>
      </c>
      <c r="D8" s="15">
        <v>1.89</v>
      </c>
      <c r="E8" s="16">
        <f>D8</f>
        <v>1.89</v>
      </c>
      <c r="F8" s="11">
        <f>D8*E$2*10000000000000000000</f>
        <v>3.0239999999999996</v>
      </c>
      <c r="G8" s="1"/>
      <c r="H8" s="1"/>
      <c r="P8" s="29">
        <f>C8*F8</f>
        <v>15.119999999999997</v>
      </c>
      <c r="Q8" s="30">
        <f>C8^2</f>
        <v>25</v>
      </c>
    </row>
    <row r="9" spans="2:19">
      <c r="B9" s="14">
        <v>574</v>
      </c>
      <c r="C9" s="11">
        <f>B9*1000000000000/100000000000000</f>
        <v>5.74</v>
      </c>
      <c r="D9" s="15">
        <v>2.15</v>
      </c>
      <c r="E9" s="16">
        <f>D9</f>
        <v>2.15</v>
      </c>
      <c r="F9" s="11">
        <f>D9*E$2*10000000000000000000</f>
        <v>3.4399999999999995</v>
      </c>
      <c r="G9" s="1"/>
      <c r="H9" s="1"/>
      <c r="P9" s="29">
        <f>C9*F9</f>
        <v>19.7456</v>
      </c>
      <c r="Q9" s="30">
        <f>C9^2</f>
        <v>32.947600000000001</v>
      </c>
    </row>
    <row r="10" spans="2:19">
      <c r="B10" s="14">
        <v>662</v>
      </c>
      <c r="C10" s="11">
        <f>B10*1000000000000/100000000000000</f>
        <v>6.62</v>
      </c>
      <c r="D10" s="15">
        <v>2.4700000000000002</v>
      </c>
      <c r="E10" s="16">
        <f>D10</f>
        <v>2.4700000000000002</v>
      </c>
      <c r="F10" s="11">
        <f>D10*E$2*10000000000000000000</f>
        <v>3.9520000000000004</v>
      </c>
      <c r="G10" s="1"/>
      <c r="H10" s="1"/>
      <c r="P10" s="29">
        <f>C10*F10</f>
        <v>26.162240000000004</v>
      </c>
      <c r="Q10" s="30">
        <f>C10^2</f>
        <v>43.824400000000004</v>
      </c>
    </row>
    <row r="11" spans="2:19">
      <c r="B11" s="14">
        <v>781</v>
      </c>
      <c r="C11" s="11">
        <f>B11*1000000000000/100000000000000</f>
        <v>7.81</v>
      </c>
      <c r="D11" s="15">
        <v>3</v>
      </c>
      <c r="E11" s="16">
        <f>D11</f>
        <v>3</v>
      </c>
      <c r="F11" s="11">
        <f>D11*E$2*10000000000000000000</f>
        <v>4.8</v>
      </c>
      <c r="G11" s="1"/>
      <c r="H11" s="1"/>
      <c r="P11" s="29">
        <f>C11*F11</f>
        <v>37.488</v>
      </c>
      <c r="Q11" s="30">
        <f>C11^2</f>
        <v>60.996099999999991</v>
      </c>
    </row>
    <row r="12" spans="2:19">
      <c r="B12" s="14"/>
      <c r="C12" s="17"/>
      <c r="D12" s="15"/>
      <c r="E12" s="16"/>
      <c r="F12" s="17"/>
      <c r="G12" s="1"/>
      <c r="H12" s="1"/>
      <c r="P12" s="29">
        <f>C12*F12</f>
        <v>0</v>
      </c>
      <c r="Q12" s="30">
        <f>C12^2</f>
        <v>0</v>
      </c>
    </row>
    <row r="13" spans="2:19">
      <c r="B13" s="14"/>
      <c r="C13" s="17"/>
      <c r="D13" s="15"/>
      <c r="E13" s="16"/>
      <c r="F13" s="17"/>
      <c r="G13" s="1"/>
      <c r="H13" s="1"/>
      <c r="P13" s="29">
        <f>C13*F13</f>
        <v>0</v>
      </c>
      <c r="Q13" s="30">
        <f>C13^2</f>
        <v>0</v>
      </c>
    </row>
    <row r="14" spans="2:19">
      <c r="B14" s="14"/>
      <c r="C14" s="17"/>
      <c r="D14" s="15"/>
      <c r="E14" s="16"/>
      <c r="F14" s="17"/>
      <c r="G14" s="1"/>
      <c r="H14" s="1"/>
      <c r="P14" s="29">
        <f>C14*F14</f>
        <v>0</v>
      </c>
      <c r="Q14" s="30">
        <f>C14^2</f>
        <v>0</v>
      </c>
    </row>
    <row r="15" spans="2:19">
      <c r="B15" s="14"/>
      <c r="C15" s="17"/>
      <c r="D15" s="15"/>
      <c r="E15" s="16"/>
      <c r="F15" s="17"/>
      <c r="G15" s="1"/>
      <c r="H15" s="1"/>
      <c r="P15" s="29">
        <f>C15*F15</f>
        <v>0</v>
      </c>
      <c r="Q15" s="30">
        <f>C15^2</f>
        <v>0</v>
      </c>
    </row>
    <row r="16" spans="2:19">
      <c r="B16" s="14"/>
      <c r="C16" s="17"/>
      <c r="D16" s="15"/>
      <c r="E16" s="16"/>
      <c r="F16" s="17"/>
      <c r="G16" s="1"/>
      <c r="H16" s="1"/>
      <c r="P16" s="29">
        <f>C16*F16</f>
        <v>0</v>
      </c>
      <c r="Q16" s="30">
        <f>C16^2</f>
        <v>0</v>
      </c>
    </row>
    <row r="17" spans="2:18">
      <c r="B17" s="14"/>
      <c r="C17" s="17"/>
      <c r="D17" s="15"/>
      <c r="E17" s="16"/>
      <c r="F17" s="17"/>
      <c r="G17" s="1"/>
      <c r="H17" s="1"/>
      <c r="P17" s="29">
        <f>C17*F17</f>
        <v>0</v>
      </c>
      <c r="Q17" s="30">
        <f>C17^2</f>
        <v>0</v>
      </c>
    </row>
    <row r="18" spans="2:18">
      <c r="B18" s="14"/>
      <c r="C18" s="17"/>
      <c r="D18" s="15"/>
      <c r="E18" s="16"/>
      <c r="F18" s="17"/>
      <c r="G18" s="1"/>
      <c r="H18" s="1"/>
      <c r="P18" s="29">
        <f>C18*F18</f>
        <v>0</v>
      </c>
      <c r="Q18" s="30">
        <f>C18^2</f>
        <v>0</v>
      </c>
    </row>
    <row r="19" spans="2:18" ht="21" thickBot="1">
      <c r="B19" s="14"/>
      <c r="C19" s="17"/>
      <c r="D19" s="15"/>
      <c r="E19" s="16"/>
      <c r="F19" s="17"/>
      <c r="G19" s="1"/>
      <c r="H19" s="1"/>
      <c r="J19" s="18"/>
      <c r="P19" s="29">
        <f>C19*F19</f>
        <v>0</v>
      </c>
      <c r="Q19" s="30">
        <f>C19^2</f>
        <v>0</v>
      </c>
    </row>
    <row r="20" spans="2:18" ht="25.5" thickBot="1">
      <c r="B20" s="19"/>
      <c r="C20" s="20"/>
      <c r="D20" s="21"/>
      <c r="E20" s="22"/>
      <c r="F20" s="20"/>
      <c r="G20" s="1"/>
      <c r="H20" s="1"/>
      <c r="J20" s="23" t="s">
        <v>7</v>
      </c>
      <c r="K20" s="24">
        <f>R21*10</f>
        <v>5.9575123281200142</v>
      </c>
      <c r="L20" s="25" t="s">
        <v>9</v>
      </c>
      <c r="M20" s="26" t="s">
        <v>8</v>
      </c>
      <c r="P20" s="29">
        <f>C20*F20</f>
        <v>0</v>
      </c>
      <c r="Q20" s="30">
        <f>C20^2</f>
        <v>0</v>
      </c>
    </row>
    <row r="21" spans="2:18">
      <c r="B21" s="27"/>
      <c r="D21" s="27"/>
      <c r="E21" s="27"/>
      <c r="F21" s="27"/>
      <c r="G21" s="1"/>
      <c r="H21" s="1"/>
      <c r="P21" s="29">
        <f>SUM(P5:P20)</f>
        <v>134.18528000000001</v>
      </c>
      <c r="Q21" s="29">
        <f>SUM(Q5:Q20)</f>
        <v>225.23709999999997</v>
      </c>
      <c r="R21" s="29">
        <f>P21/Q21</f>
        <v>0.59575123281200137</v>
      </c>
    </row>
    <row r="22" spans="2:18">
      <c r="B22" s="27"/>
      <c r="D22" s="27"/>
      <c r="E22" s="27"/>
      <c r="F22" s="27"/>
      <c r="G22" s="1"/>
      <c r="H22" s="1"/>
    </row>
    <row r="23" spans="2:18">
      <c r="K23" s="1" t="s">
        <v>10</v>
      </c>
    </row>
  </sheetData>
  <sheetProtection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AB713132CAD4B9FF5C69B91201E32" ma:contentTypeVersion="17" ma:contentTypeDescription="Create a new document." ma:contentTypeScope="" ma:versionID="b729a0b98a250672bd58aa2b92a2b19f">
  <xsd:schema xmlns:xsd="http://www.w3.org/2001/XMLSchema" xmlns:xs="http://www.w3.org/2001/XMLSchema" xmlns:p="http://schemas.microsoft.com/office/2006/metadata/properties" xmlns:ns3="8f8bb131-ecf7-47cf-b9fc-7d04ae74468f" xmlns:ns4="07422fa7-f309-41bd-8ff2-f2b6b5a6bb30" targetNamespace="http://schemas.microsoft.com/office/2006/metadata/properties" ma:root="true" ma:fieldsID="47399a38d497bd558cd6ebe1c65a46d7" ns3:_="" ns4:_="">
    <xsd:import namespace="8f8bb131-ecf7-47cf-b9fc-7d04ae74468f"/>
    <xsd:import namespace="07422fa7-f309-41bd-8ff2-f2b6b5a6bb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bb131-ecf7-47cf-b9fc-7d04ae7446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22fa7-f309-41bd-8ff2-f2b6b5a6b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8bb131-ecf7-47cf-b9fc-7d04ae74468f" xsi:nil="true"/>
  </documentManagement>
</p:properties>
</file>

<file path=customXml/itemProps1.xml><?xml version="1.0" encoding="utf-8"?>
<ds:datastoreItem xmlns:ds="http://schemas.openxmlformats.org/officeDocument/2006/customXml" ds:itemID="{4C188A9B-086D-4406-A5B5-659275C37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8bb131-ecf7-47cf-b9fc-7d04ae74468f"/>
    <ds:schemaRef ds:uri="07422fa7-f309-41bd-8ff2-f2b6b5a6b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6CCAC9-2443-45BC-9794-38A3B72C5F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6F953-B9E0-44AD-B577-8D36BFEA138B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07422fa7-f309-41bd-8ff2-f2b6b5a6bb30"/>
    <ds:schemaRef ds:uri="8f8bb131-ecf7-47cf-b9fc-7d04ae74468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SCOTTI DI UCCIO</dc:creator>
  <cp:lastModifiedBy>UMBERTO SCOTTI DI UCCIO</cp:lastModifiedBy>
  <dcterms:created xsi:type="dcterms:W3CDTF">2026-02-10T07:57:07Z</dcterms:created>
  <dcterms:modified xsi:type="dcterms:W3CDTF">2026-02-13T11:30:58Z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2026-02-10T08:18:37Z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95910f77-17c9-4da8-9060-e840c489be2c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  <property fmtid="{D5CDD505-2E9C-101B-9397-08002B2CF9AE}" pid="10" name="ContentTypeId">
    <vt:lpwstr>0x010100577AB713132CAD4B9FF5C69B91201E32</vt:lpwstr>
  </property>
</Properties>
</file>